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yasui/Desktop/"/>
    </mc:Choice>
  </mc:AlternateContent>
  <xr:revisionPtr revIDLastSave="0" documentId="8_{292759DA-ED24-9E4A-9F5A-E623E7D24330}" xr6:coauthVersionLast="47" xr6:coauthVersionMax="47" xr10:uidLastSave="{00000000-0000-0000-0000-000000000000}"/>
  <bookViews>
    <workbookView xWindow="10240" yWindow="900" windowWidth="25040" windowHeight="14260" xr2:uid="{A3293181-B2BC-6044-BB20-995B076F3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1" l="1"/>
  <c r="O13" i="1"/>
  <c r="N13" i="1"/>
  <c r="M13" i="1"/>
  <c r="L13" i="1"/>
  <c r="K13" i="1"/>
  <c r="J13" i="1"/>
  <c r="I13" i="1"/>
  <c r="P7" i="1"/>
  <c r="N7" i="1"/>
  <c r="M7" i="1"/>
  <c r="L7" i="1"/>
  <c r="J7" i="1"/>
  <c r="I7" i="1"/>
  <c r="P6" i="1"/>
  <c r="O6" i="1"/>
  <c r="N6" i="1"/>
  <c r="M6" i="1"/>
  <c r="L6" i="1"/>
  <c r="J6" i="1"/>
  <c r="I6" i="1"/>
  <c r="E14" i="1"/>
</calcChain>
</file>

<file path=xl/sharedStrings.xml><?xml version="1.0" encoding="utf-8"?>
<sst xmlns="http://schemas.openxmlformats.org/spreadsheetml/2006/main" count="95" uniqueCount="36">
  <si>
    <t>CTRL</t>
  </si>
  <si>
    <t>F</t>
  </si>
  <si>
    <t>Cortex</t>
  </si>
  <si>
    <t>RTT 4687</t>
  </si>
  <si>
    <t>RTT</t>
  </si>
  <si>
    <t>RTT 5075</t>
  </si>
  <si>
    <t>RTT 1420</t>
  </si>
  <si>
    <t>RTT 1815</t>
  </si>
  <si>
    <t>RTT 1748</t>
  </si>
  <si>
    <t>RTT 3381</t>
  </si>
  <si>
    <t>RTT 4852</t>
  </si>
  <si>
    <t>RTT B5020</t>
  </si>
  <si>
    <t>ethnicity</t>
  </si>
  <si>
    <t>ca</t>
  </si>
  <si>
    <t>aa</t>
  </si>
  <si>
    <t>number</t>
  </si>
  <si>
    <t>disease</t>
  </si>
  <si>
    <t>sex</t>
  </si>
  <si>
    <t>region</t>
  </si>
  <si>
    <t>AVERAGE</t>
  </si>
  <si>
    <t>age in years</t>
  </si>
  <si>
    <t>mutation</t>
  </si>
  <si>
    <t>none detected</t>
  </si>
  <si>
    <t>MECP2 c.378-2 A&gt;G</t>
  </si>
  <si>
    <t>MECP2 p.R255X</t>
  </si>
  <si>
    <t>NA</t>
  </si>
  <si>
    <t xml:space="preserve">Cortex </t>
  </si>
  <si>
    <t>MECP2 c.G451</t>
  </si>
  <si>
    <t>PCB 95</t>
  </si>
  <si>
    <t>PCB 28</t>
  </si>
  <si>
    <t>PCB 105</t>
  </si>
  <si>
    <t>PCB 118</t>
  </si>
  <si>
    <t>PCB 138</t>
  </si>
  <si>
    <t>PCB 153</t>
  </si>
  <si>
    <t>PCB 170</t>
  </si>
  <si>
    <t>PCB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</si>
</sst>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0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9C0006"/>
      <name val="Calibri"/>
      <family val="2"/>
      <scheme val="minor"/>
    </font>
    <font>
      <sz val="12"/>
      <name val="Calibri"/>
      <family val="2"/>
    </font>
    <font>
      <sz val="12"/>
      <color indexed="10"/>
      <name val="Calibri"/>
      <family val="2"/>
    </font>
    <font>
      <sz val="12"/>
      <color indexed="20"/>
      <name val="Calibri"/>
      <family val="2"/>
    </font>
    <font>
      <sz val="12"/>
      <color indexed="2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7CE"/>
      </patternFill>
    </fill>
    <fill>
      <patternFill patternType="solid">
        <fgColor indexed="5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3" borderId="0" applyNumberFormat="0" applyBorder="0" applyAlignment="0" applyProtection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4" borderId="1" xfId="1" applyFont="1" applyFill="1" applyBorder="1" applyAlignment="1">
      <alignment horizontal="left"/>
    </xf>
    <xf numFmtId="2" fontId="6" fillId="5" borderId="1" xfId="0" applyNumberFormat="1" applyFont="1" applyFill="1" applyBorder="1" applyAlignment="1">
      <alignment horizontal="left"/>
    </xf>
    <xf numFmtId="2" fontId="6" fillId="0" borderId="1" xfId="0" applyNumberFormat="1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2" fontId="6" fillId="5" borderId="1" xfId="3" applyNumberFormat="1" applyFont="1" applyFill="1" applyBorder="1" applyAlignment="1">
      <alignment horizontal="left"/>
    </xf>
    <xf numFmtId="2" fontId="6" fillId="0" borderId="1" xfId="3" applyNumberFormat="1" applyFont="1" applyBorder="1" applyAlignment="1">
      <alignment horizontal="left"/>
    </xf>
    <xf numFmtId="2" fontId="7" fillId="0" borderId="1" xfId="3" applyNumberFormat="1" applyFont="1" applyBorder="1" applyAlignment="1">
      <alignment horizontal="left"/>
    </xf>
    <xf numFmtId="2" fontId="6" fillId="6" borderId="1" xfId="3" applyNumberFormat="1" applyFont="1" applyFill="1" applyBorder="1" applyAlignment="1">
      <alignment horizontal="left"/>
    </xf>
    <xf numFmtId="2" fontId="8" fillId="6" borderId="1" xfId="2" applyNumberFormat="1" applyFont="1" applyFill="1" applyBorder="1" applyAlignment="1">
      <alignment horizontal="left"/>
    </xf>
    <xf numFmtId="2" fontId="9" fillId="6" borderId="1" xfId="2" applyNumberFormat="1" applyFont="1" applyFill="1" applyBorder="1" applyAlignment="1">
      <alignment horizontal="left"/>
    </xf>
    <xf numFmtId="2" fontId="7" fillId="6" borderId="1" xfId="3" applyNumberFormat="1" applyFont="1" applyFill="1" applyBorder="1" applyAlignment="1">
      <alignment horizontal="left"/>
    </xf>
  </cellXfs>
  <cellStyles count="4">
    <cellStyle name="Bad" xfId="2" builtinId="27"/>
    <cellStyle name="Normal" xfId="0" builtinId="0"/>
    <cellStyle name="Normal 2" xfId="1" xr:uid="{5920AA3D-4F5E-4B4D-8F42-A600D00FBA0A}"/>
    <cellStyle name="Normal 3" xfId="3" xr:uid="{018F21F1-3E3F-6F43-AC9D-0C23F5F51484}"/>
  </cellStyles>
  <dxfs count="28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A897-8428-1843-918D-BB7A9086C0E9}">
  <dimension ref="B5:P23"/>
  <sheetViews>
    <sheetView tabSelected="1" workbookViewId="0">
      <selection activeCell="H28" sqref="H28"/>
    </sheetView>
  </sheetViews>
  <sheetFormatPr baseColWidth="10" defaultRowHeight="16" x14ac:dyDescent="0.2"/>
  <cols>
    <col min="1" max="1" width="1.83203125" style="1" customWidth="1"/>
    <col min="2" max="4" width="10.83203125" style="1"/>
    <col min="5" max="5" width="12.83203125" style="1" customWidth="1"/>
    <col min="6" max="6" width="14.1640625" style="1" customWidth="1"/>
    <col min="7" max="7" width="8.5" style="1" customWidth="1"/>
    <col min="8" max="8" width="22.33203125" style="1" customWidth="1"/>
    <col min="9" max="9" width="13.33203125" style="1" customWidth="1"/>
    <col min="10" max="16384" width="10.83203125" style="1"/>
  </cols>
  <sheetData>
    <row r="5" spans="2:16" x14ac:dyDescent="0.2">
      <c r="B5" s="2" t="s">
        <v>15</v>
      </c>
      <c r="C5" s="2" t="s">
        <v>16</v>
      </c>
      <c r="D5" s="2" t="s">
        <v>17</v>
      </c>
      <c r="E5" s="2" t="s">
        <v>20</v>
      </c>
      <c r="F5" s="2" t="s">
        <v>18</v>
      </c>
      <c r="G5" s="2" t="s">
        <v>12</v>
      </c>
      <c r="H5" s="2" t="s">
        <v>21</v>
      </c>
      <c r="I5" s="6" t="s">
        <v>28</v>
      </c>
      <c r="J5" s="6" t="s">
        <v>29</v>
      </c>
      <c r="K5" s="6" t="s">
        <v>30</v>
      </c>
      <c r="L5" s="6" t="s">
        <v>31</v>
      </c>
      <c r="M5" s="6" t="s">
        <v>32</v>
      </c>
      <c r="N5" s="6" t="s">
        <v>33</v>
      </c>
      <c r="O5" s="6" t="s">
        <v>34</v>
      </c>
      <c r="P5" s="6" t="s">
        <v>35</v>
      </c>
    </row>
    <row r="6" spans="2:16" x14ac:dyDescent="0.2">
      <c r="B6" s="2">
        <v>5125</v>
      </c>
      <c r="C6" s="2" t="s">
        <v>0</v>
      </c>
      <c r="D6" s="2" t="s">
        <v>1</v>
      </c>
      <c r="E6" s="2">
        <v>24</v>
      </c>
      <c r="F6" s="2" t="s">
        <v>26</v>
      </c>
      <c r="G6" s="2"/>
      <c r="H6" s="2" t="s">
        <v>25</v>
      </c>
      <c r="I6" s="7">
        <f>0</f>
        <v>0</v>
      </c>
      <c r="J6" s="8">
        <f>0</f>
        <v>0</v>
      </c>
      <c r="K6" s="9">
        <v>3.4476521739157531</v>
      </c>
      <c r="L6" s="8">
        <f>0</f>
        <v>0</v>
      </c>
      <c r="M6" s="8">
        <f>0</f>
        <v>0</v>
      </c>
      <c r="N6" s="8">
        <f>0</f>
        <v>0</v>
      </c>
      <c r="O6" s="8">
        <f>0</f>
        <v>0</v>
      </c>
      <c r="P6" s="8">
        <f>0</f>
        <v>0</v>
      </c>
    </row>
    <row r="7" spans="2:16" x14ac:dyDescent="0.2">
      <c r="B7" s="2">
        <v>5161</v>
      </c>
      <c r="C7" s="2" t="s">
        <v>0</v>
      </c>
      <c r="D7" s="2" t="s">
        <v>1</v>
      </c>
      <c r="E7" s="2">
        <v>10</v>
      </c>
      <c r="F7" s="2" t="s">
        <v>26</v>
      </c>
      <c r="G7" s="2"/>
      <c r="H7" s="2" t="s">
        <v>25</v>
      </c>
      <c r="I7" s="7">
        <f>0</f>
        <v>0</v>
      </c>
      <c r="J7" s="8">
        <f>0</f>
        <v>0</v>
      </c>
      <c r="K7" s="9">
        <v>14.507000000033813</v>
      </c>
      <c r="L7" s="8">
        <f>0</f>
        <v>0</v>
      </c>
      <c r="M7" s="8">
        <f>0</f>
        <v>0</v>
      </c>
      <c r="N7" s="8">
        <f>0</f>
        <v>0</v>
      </c>
      <c r="O7" s="9">
        <v>9.1670000000213641</v>
      </c>
      <c r="P7" s="8">
        <f>0</f>
        <v>0</v>
      </c>
    </row>
    <row r="8" spans="2:16" x14ac:dyDescent="0.2">
      <c r="B8" s="2">
        <v>4591</v>
      </c>
      <c r="C8" s="2" t="s">
        <v>0</v>
      </c>
      <c r="D8" s="2" t="s">
        <v>1</v>
      </c>
      <c r="E8" s="2">
        <v>16</v>
      </c>
      <c r="F8" s="2" t="s">
        <v>26</v>
      </c>
      <c r="G8" s="2"/>
      <c r="H8" s="2" t="s">
        <v>25</v>
      </c>
      <c r="I8" s="2" t="s">
        <v>25</v>
      </c>
      <c r="J8" s="2"/>
      <c r="K8" s="2"/>
      <c r="L8" s="2"/>
      <c r="M8" s="2"/>
      <c r="N8" s="2"/>
      <c r="O8" s="2"/>
      <c r="P8" s="2"/>
    </row>
    <row r="9" spans="2:16" x14ac:dyDescent="0.2">
      <c r="B9" s="2">
        <v>812</v>
      </c>
      <c r="C9" s="2" t="s">
        <v>0</v>
      </c>
      <c r="D9" s="2" t="s">
        <v>1</v>
      </c>
      <c r="E9" s="2">
        <v>18</v>
      </c>
      <c r="F9" s="2" t="s">
        <v>2</v>
      </c>
      <c r="G9" s="2" t="s">
        <v>14</v>
      </c>
      <c r="H9" s="2" t="s">
        <v>25</v>
      </c>
      <c r="I9" s="10">
        <v>0</v>
      </c>
      <c r="J9" s="11">
        <v>0</v>
      </c>
      <c r="K9" s="11">
        <v>0</v>
      </c>
      <c r="L9" s="11">
        <v>0</v>
      </c>
      <c r="M9" s="12">
        <v>2.4248089887640449</v>
      </c>
      <c r="N9" s="12">
        <v>4.6222921348314605</v>
      </c>
      <c r="O9" s="11">
        <v>0</v>
      </c>
      <c r="P9" s="12">
        <v>2.1785393258426966</v>
      </c>
    </row>
    <row r="10" spans="2:16" x14ac:dyDescent="0.2">
      <c r="B10" s="2">
        <v>662</v>
      </c>
      <c r="C10" s="2" t="s">
        <v>0</v>
      </c>
      <c r="D10" s="2" t="s">
        <v>1</v>
      </c>
      <c r="E10" s="2">
        <v>12</v>
      </c>
      <c r="F10" s="2" t="s">
        <v>2</v>
      </c>
      <c r="G10" s="2"/>
      <c r="H10" s="2" t="s">
        <v>25</v>
      </c>
      <c r="I10" s="2" t="s">
        <v>25</v>
      </c>
      <c r="J10" s="2"/>
      <c r="K10" s="2"/>
      <c r="L10" s="2"/>
      <c r="M10" s="2"/>
      <c r="N10" s="2"/>
      <c r="O10" s="2"/>
      <c r="P10" s="2"/>
    </row>
    <row r="11" spans="2:16" x14ac:dyDescent="0.2">
      <c r="B11" s="2">
        <v>1136</v>
      </c>
      <c r="C11" s="2" t="s">
        <v>0</v>
      </c>
      <c r="D11" s="2" t="s">
        <v>1</v>
      </c>
      <c r="E11" s="2">
        <v>33</v>
      </c>
      <c r="F11" s="2" t="s">
        <v>2</v>
      </c>
      <c r="G11" s="2"/>
      <c r="H11" s="2" t="s">
        <v>25</v>
      </c>
      <c r="I11" s="10">
        <v>0</v>
      </c>
      <c r="J11" s="12">
        <v>7.2352222222222231</v>
      </c>
      <c r="K11" s="11">
        <v>0</v>
      </c>
      <c r="L11" s="12">
        <v>11.440308641975308</v>
      </c>
      <c r="M11" s="12">
        <v>20.097839506172843</v>
      </c>
      <c r="N11" s="12">
        <v>30.054000000000002</v>
      </c>
      <c r="O11" s="11">
        <v>0</v>
      </c>
      <c r="P11" s="12">
        <v>14.037567901234569</v>
      </c>
    </row>
    <row r="12" spans="2:16" x14ac:dyDescent="0.2">
      <c r="B12" s="2">
        <v>1711</v>
      </c>
      <c r="C12" s="2" t="s">
        <v>0</v>
      </c>
      <c r="D12" s="2" t="s">
        <v>1</v>
      </c>
      <c r="E12" s="2">
        <v>27</v>
      </c>
      <c r="F12" s="2" t="s">
        <v>2</v>
      </c>
      <c r="G12" s="2" t="s">
        <v>13</v>
      </c>
      <c r="H12" s="2" t="s">
        <v>25</v>
      </c>
      <c r="I12" s="10">
        <v>0</v>
      </c>
      <c r="J12" s="12">
        <v>11.18024050633003</v>
      </c>
      <c r="K12" s="11">
        <v>0</v>
      </c>
      <c r="L12" s="12">
        <v>4.4068101265826396</v>
      </c>
      <c r="M12" s="11">
        <v>0</v>
      </c>
      <c r="N12" s="12">
        <v>9.8745189873425829</v>
      </c>
      <c r="O12" s="11">
        <v>0</v>
      </c>
      <c r="P12" s="12">
        <v>8.024746835443695</v>
      </c>
    </row>
    <row r="13" spans="2:16" x14ac:dyDescent="0.2">
      <c r="B13" s="2">
        <v>1846</v>
      </c>
      <c r="C13" s="2" t="s">
        <v>0</v>
      </c>
      <c r="D13" s="2" t="s">
        <v>1</v>
      </c>
      <c r="E13" s="2">
        <v>21</v>
      </c>
      <c r="F13" s="2" t="s">
        <v>2</v>
      </c>
      <c r="G13" s="2"/>
      <c r="H13" s="2" t="s">
        <v>25</v>
      </c>
      <c r="I13" s="7">
        <f>0</f>
        <v>0</v>
      </c>
      <c r="J13" s="8">
        <f>0</f>
        <v>0</v>
      </c>
      <c r="K13" s="8">
        <f>0</f>
        <v>0</v>
      </c>
      <c r="L13" s="8">
        <f>0</f>
        <v>0</v>
      </c>
      <c r="M13" s="8">
        <f>0</f>
        <v>0</v>
      </c>
      <c r="N13" s="8">
        <f>0</f>
        <v>0</v>
      </c>
      <c r="O13" s="8">
        <f>0</f>
        <v>0</v>
      </c>
      <c r="P13" s="8">
        <f>0</f>
        <v>0</v>
      </c>
    </row>
    <row r="14" spans="2:16" x14ac:dyDescent="0.2">
      <c r="B14" s="2"/>
      <c r="C14" s="2"/>
      <c r="D14" s="2" t="s">
        <v>19</v>
      </c>
      <c r="E14" s="2">
        <f>AVERAGE(E6:E13)</f>
        <v>20.125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 x14ac:dyDescent="0.2">
      <c r="B15" s="2" t="s">
        <v>3</v>
      </c>
      <c r="C15" s="2" t="s">
        <v>4</v>
      </c>
      <c r="D15" s="2" t="s">
        <v>1</v>
      </c>
      <c r="E15" s="2">
        <v>8</v>
      </c>
      <c r="F15" s="2" t="s">
        <v>2</v>
      </c>
      <c r="G15" s="2"/>
      <c r="H15" s="3" t="s">
        <v>24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</row>
    <row r="16" spans="2:16" x14ac:dyDescent="0.2">
      <c r="B16" s="2" t="s">
        <v>5</v>
      </c>
      <c r="C16" s="2" t="s">
        <v>4</v>
      </c>
      <c r="D16" s="2" t="s">
        <v>1</v>
      </c>
      <c r="E16" s="2">
        <v>20</v>
      </c>
      <c r="F16" s="2" t="s">
        <v>2</v>
      </c>
      <c r="G16" s="2"/>
      <c r="H16" s="2" t="s">
        <v>22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1.9019512195125099</v>
      </c>
      <c r="O16" s="14">
        <v>0</v>
      </c>
      <c r="P16" s="14">
        <v>2.1736585365857231</v>
      </c>
    </row>
    <row r="17" spans="2:16" x14ac:dyDescent="0.2">
      <c r="B17" s="2" t="s">
        <v>6</v>
      </c>
      <c r="C17" s="2" t="s">
        <v>4</v>
      </c>
      <c r="D17" s="2" t="s">
        <v>1</v>
      </c>
      <c r="E17" s="2">
        <v>21</v>
      </c>
      <c r="F17" s="2" t="s">
        <v>2</v>
      </c>
      <c r="G17" s="2"/>
      <c r="H17" s="2" t="s">
        <v>22</v>
      </c>
      <c r="I17" s="14">
        <v>0</v>
      </c>
      <c r="J17" s="14">
        <v>0</v>
      </c>
      <c r="K17" s="15">
        <v>0</v>
      </c>
      <c r="L17" s="14">
        <v>0</v>
      </c>
      <c r="M17" s="14">
        <v>0</v>
      </c>
      <c r="N17" s="14">
        <v>12.872322580645656</v>
      </c>
      <c r="O17" s="14">
        <v>0</v>
      </c>
      <c r="P17" s="14">
        <v>14.200419354839257</v>
      </c>
    </row>
    <row r="18" spans="2:16" x14ac:dyDescent="0.2">
      <c r="B18" s="2" t="s">
        <v>7</v>
      </c>
      <c r="C18" s="2" t="s">
        <v>4</v>
      </c>
      <c r="D18" s="2" t="s">
        <v>1</v>
      </c>
      <c r="E18" s="2">
        <v>18</v>
      </c>
      <c r="F18" s="2" t="s">
        <v>2</v>
      </c>
      <c r="G18" s="2" t="s">
        <v>13</v>
      </c>
      <c r="H18" s="3" t="s">
        <v>23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</row>
    <row r="19" spans="2:16" x14ac:dyDescent="0.2">
      <c r="B19" s="4" t="s">
        <v>8</v>
      </c>
      <c r="C19" s="4" t="s">
        <v>4</v>
      </c>
      <c r="D19" s="4" t="s">
        <v>1</v>
      </c>
      <c r="E19" s="4">
        <v>22</v>
      </c>
      <c r="F19" s="4" t="s">
        <v>2</v>
      </c>
      <c r="G19" s="2"/>
      <c r="H19" s="2" t="s">
        <v>22</v>
      </c>
      <c r="I19" s="14">
        <v>0</v>
      </c>
      <c r="J19" s="14">
        <v>0</v>
      </c>
      <c r="K19" s="14">
        <v>0</v>
      </c>
      <c r="L19" s="14">
        <v>10.130187500001115</v>
      </c>
      <c r="M19" s="14">
        <v>10.966625000001207</v>
      </c>
      <c r="N19" s="14">
        <v>0</v>
      </c>
      <c r="O19" s="14">
        <v>0</v>
      </c>
      <c r="P19" s="14">
        <v>16.728750000001842</v>
      </c>
    </row>
    <row r="20" spans="2:16" x14ac:dyDescent="0.2">
      <c r="B20" s="5" t="s">
        <v>9</v>
      </c>
      <c r="C20" s="5" t="s">
        <v>4</v>
      </c>
      <c r="D20" s="5" t="s">
        <v>1</v>
      </c>
      <c r="E20" s="5">
        <v>22</v>
      </c>
      <c r="F20" s="5" t="s">
        <v>2</v>
      </c>
      <c r="G20" s="2"/>
      <c r="H20" s="2" t="s">
        <v>22</v>
      </c>
      <c r="I20" s="14">
        <v>0</v>
      </c>
      <c r="J20" s="14">
        <v>5.8024999999994673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</row>
    <row r="21" spans="2:16" x14ac:dyDescent="0.2">
      <c r="B21" s="4" t="s">
        <v>10</v>
      </c>
      <c r="C21" s="4" t="s">
        <v>4</v>
      </c>
      <c r="D21" s="5" t="s">
        <v>1</v>
      </c>
      <c r="E21" s="4">
        <v>19</v>
      </c>
      <c r="F21" s="4" t="s">
        <v>2</v>
      </c>
      <c r="G21" s="4" t="s">
        <v>13</v>
      </c>
      <c r="H21" s="2" t="s">
        <v>27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</row>
    <row r="22" spans="2:16" x14ac:dyDescent="0.2">
      <c r="B22" s="2" t="s">
        <v>11</v>
      </c>
      <c r="C22" s="2" t="s">
        <v>4</v>
      </c>
      <c r="D22" s="2" t="s">
        <v>1</v>
      </c>
      <c r="E22" s="2">
        <v>24</v>
      </c>
      <c r="F22" s="2" t="s">
        <v>2</v>
      </c>
      <c r="G22" s="2"/>
      <c r="H22" s="3" t="s">
        <v>24</v>
      </c>
      <c r="I22" s="13">
        <v>0</v>
      </c>
      <c r="J22" s="16">
        <v>2.4346153846154031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</row>
    <row r="23" spans="2:16" x14ac:dyDescent="0.2">
      <c r="D23" s="1" t="s">
        <v>19</v>
      </c>
      <c r="E23" s="1">
        <v>19.25</v>
      </c>
    </row>
  </sheetData>
  <phoneticPr fontId="2" type="noConversion"/>
  <conditionalFormatting sqref="I6:P6">
    <cfRule type="cellIs" dxfId="27" priority="27" operator="equal">
      <formula>0</formula>
    </cfRule>
    <cfRule type="cellIs" dxfId="26" priority="28" operator="greaterThan">
      <formula>0</formula>
    </cfRule>
  </conditionalFormatting>
  <conditionalFormatting sqref="I7:P7">
    <cfRule type="cellIs" dxfId="25" priority="25" operator="equal">
      <formula>0</formula>
    </cfRule>
    <cfRule type="cellIs" dxfId="24" priority="26" operator="greaterThan">
      <formula>0</formula>
    </cfRule>
  </conditionalFormatting>
  <conditionalFormatting sqref="I9:P9">
    <cfRule type="cellIs" dxfId="23" priority="23" operator="equal">
      <formula>0</formula>
    </cfRule>
    <cfRule type="cellIs" dxfId="22" priority="24" operator="greaterThan">
      <formula>0</formula>
    </cfRule>
  </conditionalFormatting>
  <conditionalFormatting sqref="I11:P11">
    <cfRule type="cellIs" dxfId="21" priority="21" operator="equal">
      <formula>0</formula>
    </cfRule>
    <cfRule type="cellIs" dxfId="20" priority="22" operator="greaterThan">
      <formula>0</formula>
    </cfRule>
  </conditionalFormatting>
  <conditionalFormatting sqref="I12:P12">
    <cfRule type="cellIs" dxfId="19" priority="19" operator="equal">
      <formula>0</formula>
    </cfRule>
    <cfRule type="cellIs" dxfId="18" priority="20" operator="greaterThan">
      <formula>0</formula>
    </cfRule>
  </conditionalFormatting>
  <conditionalFormatting sqref="I13:P13">
    <cfRule type="cellIs" dxfId="17" priority="17" operator="equal">
      <formula>0</formula>
    </cfRule>
    <cfRule type="cellIs" dxfId="16" priority="18" operator="greaterThan">
      <formula>0</formula>
    </cfRule>
  </conditionalFormatting>
  <conditionalFormatting sqref="I15:P15">
    <cfRule type="cellIs" dxfId="15" priority="15" operator="equal">
      <formula>0</formula>
    </cfRule>
    <cfRule type="cellIs" dxfId="14" priority="16" operator="greaterThan">
      <formula>0</formula>
    </cfRule>
  </conditionalFormatting>
  <conditionalFormatting sqref="I16:P16">
    <cfRule type="cellIs" dxfId="13" priority="13" operator="equal">
      <formula>0</formula>
    </cfRule>
    <cfRule type="cellIs" dxfId="12" priority="14" operator="greaterThan">
      <formula>0</formula>
    </cfRule>
  </conditionalFormatting>
  <conditionalFormatting sqref="I17:P17">
    <cfRule type="cellIs" dxfId="11" priority="11" operator="equal">
      <formula>0</formula>
    </cfRule>
    <cfRule type="cellIs" dxfId="10" priority="12" operator="greaterThan">
      <formula>0</formula>
    </cfRule>
  </conditionalFormatting>
  <conditionalFormatting sqref="I18:P18">
    <cfRule type="cellIs" dxfId="9" priority="9" operator="equal">
      <formula>0</formula>
    </cfRule>
    <cfRule type="cellIs" dxfId="8" priority="10" operator="greaterThan">
      <formula>0</formula>
    </cfRule>
  </conditionalFormatting>
  <conditionalFormatting sqref="I19:P19">
    <cfRule type="cellIs" dxfId="7" priority="7" operator="equal">
      <formula>0</formula>
    </cfRule>
    <cfRule type="cellIs" dxfId="6" priority="8" operator="greaterThan">
      <formula>0</formula>
    </cfRule>
  </conditionalFormatting>
  <conditionalFormatting sqref="I20:P20">
    <cfRule type="cellIs" dxfId="5" priority="5" operator="equal">
      <formula>0</formula>
    </cfRule>
    <cfRule type="cellIs" dxfId="4" priority="6" operator="greaterThan">
      <formula>0</formula>
    </cfRule>
  </conditionalFormatting>
  <conditionalFormatting sqref="I21:P21">
    <cfRule type="cellIs" dxfId="3" priority="3" operator="equal">
      <formula>0</formula>
    </cfRule>
    <cfRule type="cellIs" dxfId="2" priority="4" operator="greaterThan">
      <formula>0</formula>
    </cfRule>
  </conditionalFormatting>
  <conditionalFormatting sqref="I22:P22">
    <cfRule type="cellIs" dxfId="1" priority="1" operator="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Dag Yasui</cp:lastModifiedBy>
  <cp:lastPrinted>2020-12-02T21:06:00Z</cp:lastPrinted>
  <dcterms:created xsi:type="dcterms:W3CDTF">2020-11-25T19:50:11Z</dcterms:created>
  <dcterms:modified xsi:type="dcterms:W3CDTF">2024-07-15T23:02:15Z</dcterms:modified>
</cp:coreProperties>
</file>